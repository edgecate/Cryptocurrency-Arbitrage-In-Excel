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gecate\Documents\Arb\"/>
    </mc:Choice>
  </mc:AlternateContent>
  <xr:revisionPtr revIDLastSave="0" documentId="13_ncr:1_{157DA6DB-BDC5-4D2C-B505-048F37467207}" xr6:coauthVersionLast="43" xr6:coauthVersionMax="43" xr10:uidLastSave="{00000000-0000-0000-0000-000000000000}"/>
  <bookViews>
    <workbookView xWindow="810" yWindow="-120" windowWidth="28110" windowHeight="16440" xr2:uid="{535322DA-6255-4D07-8C8E-72F7B9ED992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2" l="1"/>
  <c r="B11" i="2"/>
  <c r="C4" i="2"/>
  <c r="O12" i="2" s="1"/>
  <c r="C3" i="2"/>
  <c r="O11" i="2" s="1"/>
  <c r="D4" i="2"/>
  <c r="D12" i="2" s="1"/>
  <c r="D2" i="2"/>
  <c r="D10" i="2" s="1"/>
  <c r="E2" i="2"/>
  <c r="Q10" i="2" s="1"/>
  <c r="E3" i="2"/>
  <c r="E11" i="2" s="1"/>
  <c r="E4" i="2"/>
  <c r="E12" i="2" s="1"/>
  <c r="D3" i="2"/>
  <c r="P11" i="2" s="1"/>
  <c r="C2" i="2"/>
  <c r="C10" i="2" s="1"/>
  <c r="A11" i="2"/>
  <c r="A12" i="2"/>
  <c r="A13" i="2"/>
  <c r="A14" i="2"/>
  <c r="B10" i="2"/>
  <c r="A10" i="2"/>
  <c r="C10" i="1"/>
  <c r="Q11" i="2" l="1"/>
  <c r="J11" i="2" s="1"/>
  <c r="C11" i="2"/>
  <c r="E10" i="2"/>
  <c r="H10" i="2" s="1"/>
  <c r="P12" i="2"/>
  <c r="Q12" i="2"/>
  <c r="D11" i="2"/>
  <c r="C12" i="2"/>
  <c r="O10" i="2"/>
  <c r="P10" i="2"/>
  <c r="A14" i="1"/>
  <c r="A13" i="1"/>
  <c r="A12" i="1"/>
  <c r="A11" i="1"/>
  <c r="A10" i="1"/>
  <c r="B14" i="1"/>
  <c r="B13" i="1"/>
  <c r="B12" i="1"/>
  <c r="B11" i="1"/>
  <c r="B10" i="1"/>
  <c r="E5" i="1"/>
  <c r="E13" i="1" s="1"/>
  <c r="E6" i="1"/>
  <c r="E14" i="1" s="1"/>
  <c r="E4" i="1"/>
  <c r="E12" i="1" s="1"/>
  <c r="E3" i="1"/>
  <c r="E11" i="1" s="1"/>
  <c r="E2" i="1"/>
  <c r="Q10" i="1" s="1"/>
  <c r="D6" i="1"/>
  <c r="D14" i="1" s="1"/>
  <c r="D5" i="1"/>
  <c r="D13" i="1" s="1"/>
  <c r="D4" i="1"/>
  <c r="D12" i="1" s="1"/>
  <c r="D3" i="1"/>
  <c r="D11" i="1" s="1"/>
  <c r="D2" i="1"/>
  <c r="D10" i="1" s="1"/>
  <c r="C6" i="1"/>
  <c r="C14" i="1" s="1"/>
  <c r="C5" i="1"/>
  <c r="C13" i="1" s="1"/>
  <c r="C4" i="1"/>
  <c r="C12" i="1" s="1"/>
  <c r="C3" i="1"/>
  <c r="C11" i="1" s="1"/>
  <c r="J12" i="2" l="1"/>
  <c r="I12" i="2"/>
  <c r="G10" i="2"/>
  <c r="I11" i="2"/>
  <c r="J10" i="2"/>
  <c r="I10" i="2"/>
  <c r="H12" i="2"/>
  <c r="G12" i="2"/>
  <c r="K12" i="2" s="1"/>
  <c r="H11" i="2"/>
  <c r="G11" i="2"/>
  <c r="H13" i="1"/>
  <c r="H11" i="1"/>
  <c r="H12" i="1"/>
  <c r="H14" i="1"/>
  <c r="G12" i="1"/>
  <c r="G11" i="1"/>
  <c r="G13" i="1"/>
  <c r="O11" i="1"/>
  <c r="O13" i="1"/>
  <c r="P11" i="1"/>
  <c r="P12" i="1"/>
  <c r="P10" i="1"/>
  <c r="P13" i="1"/>
  <c r="Q11" i="1"/>
  <c r="Q12" i="1"/>
  <c r="Q13" i="1"/>
  <c r="O12" i="1"/>
  <c r="E10" i="1"/>
  <c r="H10" i="1" s="1"/>
  <c r="O10" i="1"/>
  <c r="O14" i="1"/>
  <c r="Q14" i="1"/>
  <c r="G14" i="1"/>
  <c r="P14" i="1"/>
  <c r="K11" i="2" l="1"/>
  <c r="L12" i="2"/>
  <c r="M12" i="2" s="1"/>
  <c r="L11" i="2"/>
  <c r="M11" i="2" s="1"/>
  <c r="L10" i="2"/>
  <c r="M10" i="2" s="1"/>
  <c r="K10" i="2"/>
  <c r="J10" i="1"/>
  <c r="G10" i="1"/>
  <c r="J13" i="1"/>
  <c r="J11" i="1"/>
  <c r="J12" i="1"/>
  <c r="J14" i="1"/>
  <c r="I10" i="1"/>
  <c r="L10" i="1" s="1"/>
  <c r="I12" i="1"/>
  <c r="I13" i="1"/>
  <c r="K13" i="1" s="1"/>
  <c r="I11" i="1"/>
  <c r="K11" i="1" s="1"/>
  <c r="I14" i="1"/>
  <c r="K10" i="1" l="1"/>
  <c r="M10" i="1"/>
  <c r="M14" i="1"/>
  <c r="L14" i="1"/>
  <c r="M13" i="1"/>
  <c r="L13" i="1"/>
  <c r="K12" i="1"/>
  <c r="L12" i="1"/>
  <c r="M12" i="1"/>
  <c r="M11" i="1"/>
  <c r="L11" i="1"/>
  <c r="K14" i="1"/>
</calcChain>
</file>

<file path=xl/sharedStrings.xml><?xml version="1.0" encoding="utf-8"?>
<sst xmlns="http://schemas.openxmlformats.org/spreadsheetml/2006/main" count="50" uniqueCount="18">
  <si>
    <t>ETH</t>
  </si>
  <si>
    <t>XRP</t>
  </si>
  <si>
    <t>Binance</t>
  </si>
  <si>
    <t>Okex</t>
  </si>
  <si>
    <t>BitForex</t>
  </si>
  <si>
    <t>EOS</t>
  </si>
  <si>
    <t>DASH</t>
  </si>
  <si>
    <t>MAX</t>
  </si>
  <si>
    <t>Exchange</t>
  </si>
  <si>
    <t>MIN</t>
  </si>
  <si>
    <t>Result</t>
  </si>
  <si>
    <t>Action</t>
  </si>
  <si>
    <t>ATOM</t>
  </si>
  <si>
    <t>%</t>
  </si>
  <si>
    <t xml:space="preserve"> </t>
  </si>
  <si>
    <t>FROM (ask)</t>
  </si>
  <si>
    <t>TO (bid)</t>
  </si>
  <si>
    <t>{"symbol":"ETHBTC","bidPrice":"0.02503100","bidQty":"3.44900000","askPrice":"0.02503800","askQty":"0.04900000"}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</si>
</sst>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2"/>
    <xf numFmtId="164" fontId="0" fillId="0" borderId="0" xfId="0" applyNumberFormat="1"/>
    <xf numFmtId="10" fontId="0" fillId="0" borderId="0" xfId="1" applyNumberFormat="1" applyFon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okex.com/api/spot/v3/instruments/ETH-BTC/ticker" TargetMode="External"/><Relationship Id="rId13" Type="http://schemas.openxmlformats.org/officeDocument/2006/relationships/hyperlink" Target="https://api.bitforex.com/api/v1/market/ticker?symbol=coin-btc-eth" TargetMode="External"/><Relationship Id="rId3" Type="http://schemas.openxmlformats.org/officeDocument/2006/relationships/hyperlink" Target="https://api.bitforex.com/api/v1/market/ticker?symbol=coin-btc-eth" TargetMode="External"/><Relationship Id="rId7" Type="http://schemas.openxmlformats.org/officeDocument/2006/relationships/hyperlink" Target="https://api.binance.com/api/v3/ticker/bookTicker?symbol=ETHBTC" TargetMode="External"/><Relationship Id="rId12" Type="http://schemas.openxmlformats.org/officeDocument/2006/relationships/hyperlink" Target="https://api.bitforex.com/api/v1/market/ticker?symbol=coin-btc-eth" TargetMode="External"/><Relationship Id="rId2" Type="http://schemas.openxmlformats.org/officeDocument/2006/relationships/hyperlink" Target="https://www.okex.com/api/spot/v3/instruments/ETH-BTC/ticker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api.binance.com/api/v3/ticker/bookTicker?symbol=ETHBTC" TargetMode="External"/><Relationship Id="rId6" Type="http://schemas.openxmlformats.org/officeDocument/2006/relationships/hyperlink" Target="https://api.binance.com/api/v3/ticker/bookTicker?symbol=ETHBTC" TargetMode="External"/><Relationship Id="rId11" Type="http://schemas.openxmlformats.org/officeDocument/2006/relationships/hyperlink" Target="https://www.okex.com/api/spot/v3/instruments/ETH-BTC/ticker" TargetMode="External"/><Relationship Id="rId5" Type="http://schemas.openxmlformats.org/officeDocument/2006/relationships/hyperlink" Target="https://api.binance.com/api/v3/ticker/bookTicker?symbol=ETHBTC" TargetMode="External"/><Relationship Id="rId15" Type="http://schemas.openxmlformats.org/officeDocument/2006/relationships/hyperlink" Target="https://api.bitforex.com/api/v1/market/ticker?symbol=coin-btc-eth" TargetMode="External"/><Relationship Id="rId10" Type="http://schemas.openxmlformats.org/officeDocument/2006/relationships/hyperlink" Target="https://www.okex.com/api/spot/v3/instruments/ETH-BTC/ticker" TargetMode="External"/><Relationship Id="rId4" Type="http://schemas.openxmlformats.org/officeDocument/2006/relationships/hyperlink" Target="https://api.binance.com/api/v3/ticker/bookTicker?symbol=ETHBTC" TargetMode="External"/><Relationship Id="rId9" Type="http://schemas.openxmlformats.org/officeDocument/2006/relationships/hyperlink" Target="https://www.okex.com/api/spot/v3/instruments/ETH-BTC/ticker" TargetMode="External"/><Relationship Id="rId14" Type="http://schemas.openxmlformats.org/officeDocument/2006/relationships/hyperlink" Target="https://api.bitforex.com/api/v1/market/ticker?symbol=coin-btc-eth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pi.binance.com/api/v3/ticker/bookTicker?symbol=ETHBTC" TargetMode="External"/><Relationship Id="rId2" Type="http://schemas.openxmlformats.org/officeDocument/2006/relationships/hyperlink" Target="https://api.binance.com/api/v3/ticker/bookTicker?symbol=ETHBTC" TargetMode="External"/><Relationship Id="rId1" Type="http://schemas.openxmlformats.org/officeDocument/2006/relationships/hyperlink" Target="https://api.binance.com/api/v3/ticker/bookTicker?symbol=ETHBTC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6A759-6AA3-49DA-93B8-A7FB32314E1F}">
  <sheetPr codeName="Sheet1"/>
  <dimension ref="A1:Q17"/>
  <sheetViews>
    <sheetView tabSelected="1" zoomScale="160" zoomScaleNormal="160" workbookViewId="0"/>
  </sheetViews>
  <sheetFormatPr defaultRowHeight="15" x14ac:dyDescent="0.25"/>
  <cols>
    <col min="1" max="1" width="2" bestFit="1" customWidth="1"/>
    <col min="2" max="2" width="6.42578125" bestFit="1" customWidth="1"/>
    <col min="3" max="5" width="12.28515625" customWidth="1"/>
    <col min="6" max="6" width="2.5703125" customWidth="1"/>
    <col min="7" max="7" width="12.5703125" bestFit="1" customWidth="1"/>
    <col min="8" max="8" width="11" bestFit="1" customWidth="1"/>
    <col min="9" max="9" width="12.5703125" bestFit="1" customWidth="1"/>
    <col min="10" max="10" width="11" bestFit="1" customWidth="1"/>
    <col min="11" max="11" width="12.28515625" bestFit="1" customWidth="1"/>
    <col min="12" max="12" width="8.140625" bestFit="1" customWidth="1"/>
    <col min="13" max="13" width="7.140625" bestFit="1" customWidth="1"/>
    <col min="14" max="14" width="2.5703125" customWidth="1"/>
    <col min="15" max="17" width="12.28515625" customWidth="1"/>
  </cols>
  <sheetData>
    <row r="1" spans="1:17" x14ac:dyDescent="0.25">
      <c r="C1" t="s">
        <v>2</v>
      </c>
      <c r="D1" t="s">
        <v>3</v>
      </c>
      <c r="E1" t="s">
        <v>4</v>
      </c>
    </row>
    <row r="2" spans="1:17" x14ac:dyDescent="0.25">
      <c r="A2">
        <v>1</v>
      </c>
      <c r="B2" t="s">
        <v>0</v>
      </c>
      <c r="C2" s="1" t="s">
        <v>17</v>
      </c>
      <c r="D2" s="1" t="str">
        <f>_xlfn.WEBSERVICE("https://www.okex.com/api/spot/v3/instruments/"&amp;$B2&amp;"-BTC/ticker")</f>
        <v>{"best_ask":"0.02678","best_bid":"0.02677","instrument_id":"ETH-BTC","product_id":"ETH-BTC","last":"0.02677","ask":"0.02678","bid":"0.02677","open_24h":"0.02666","high_24h":"0.02708","low_24h":"0.02605","base_volume_24h":"232922.26668","timestamp":"2019-07-01T00:15:54.073Z","quote_volume_24h":"6183.09334"}</v>
      </c>
      <c r="E2" s="1" t="str">
        <f>_xlfn.WEBSERVICE("https://api.bitforex.com/api/v1/market/ticker?symbol=coin-btc-"&amp;LOWER($B2))</f>
        <v>{"data":{"buy":0.0267497,"date":1561940155253,"high":0.02706799,"last":0.02676568,"low":0.0260696,"sell":0.02677995,"vol":228446.2985},"success":true,"time":1561940155253}</v>
      </c>
      <c r="F2" t="s">
        <v>14</v>
      </c>
    </row>
    <row r="3" spans="1:17" x14ac:dyDescent="0.25">
      <c r="A3">
        <v>2</v>
      </c>
      <c r="B3" t="s">
        <v>1</v>
      </c>
      <c r="C3" s="1" t="str">
        <f>_xlfn.WEBSERVICE("https://api.binance.com/api/v3/ticker/bookTicker?symbol="&amp;$B3&amp;"BTC")</f>
        <v>{"symbol":"XRPBTC","bidPrice":"0.00003630","bidQty":"30258.00000000","askPrice":"0.00003631","askQty":"6558.00000000"}</v>
      </c>
      <c r="D3" s="1" t="str">
        <f>_xlfn.WEBSERVICE("https://www.okex.com/api/spot/v3/instruments/"&amp;$B3&amp;"-BTC/ticker")</f>
        <v>{"best_ask":"0.00003633","best_bid":"0.00003629","instrument_id":"XRP-BTC","product_id":"XRP-BTC","last":"0.00003629","ask":"0.00003633","bid":"0.00003629","open_24h":"0.00003538","high_24h":"0.00003677","low_24h":"0.00003483","base_volume_24h":"46191419.033","timestamp":"2019-07-01T00:15:49.451Z","quote_volume_24h":"1654.85973368"}</v>
      </c>
      <c r="E3" s="1" t="str">
        <f>_xlfn.WEBSERVICE("https://api.bitforex.com/api/v1/market/ticker?symbol=coin-btc-"&amp;LOWER($B3))</f>
        <v>{"data":{"buy":0.00003627,"date":1561940155238,"high":0.00003676,"last":0.0000363,"low":0.00003482,"sell":0.00003633,"vol":52841926.2868},"success":true,"time":1561940155238}</v>
      </c>
      <c r="F3" t="s">
        <v>14</v>
      </c>
    </row>
    <row r="4" spans="1:17" x14ac:dyDescent="0.25">
      <c r="A4">
        <v>3</v>
      </c>
      <c r="B4" t="s">
        <v>5</v>
      </c>
      <c r="C4" s="1" t="str">
        <f>_xlfn.WEBSERVICE("https://api.binance.com/api/v3/ticker/bookTicker?symbol="&amp;$B4&amp;"BTC")</f>
        <v>{"symbol":"EOSBTC","bidPrice":"0.00053190","bidQty":"86.90000000","askPrice":"0.00053200","askQty":"239.67000000"}</v>
      </c>
      <c r="D4" s="1" t="str">
        <f>_xlfn.WEBSERVICE("https://www.okex.com/api/spot/v3/instruments/"&amp;$B4&amp;"-BTC/ticker")</f>
        <v>{"best_ask":"0.0005322","best_bid":"0.0005316","instrument_id":"EOS-BTC","product_id":"EOS-BTC","last":"0.0005314","ask":"0.0005322","bid":"0.0005316","open_24h":"0.0005293","high_24h":"0.000541","low_24h":"0.0005175","base_volume_24h":"9864710.7218","timestamp":"2019-07-01T00:15:52.133Z","quote_volume_24h":"5193.684212"}</v>
      </c>
      <c r="E4" s="1" t="str">
        <f>_xlfn.WEBSERVICE("https://api.bitforex.com/api/v1/market/ticker?symbol=coin-btc-"&amp;LOWER($B4))</f>
        <v>{"data":{"buy":0.00052985,"date":1561940156716,"high":0.00053958,"last":0.00053185,"low":0.00051767,"sell":0.00053395,"vol":3037633.1672},"success":true,"time":1561940156716}</v>
      </c>
      <c r="F4" t="s">
        <v>14</v>
      </c>
    </row>
    <row r="5" spans="1:17" x14ac:dyDescent="0.25">
      <c r="A5">
        <v>4</v>
      </c>
      <c r="B5" t="s">
        <v>6</v>
      </c>
      <c r="C5" s="1" t="str">
        <f>_xlfn.WEBSERVICE("https://api.binance.com/api/v3/ticker/bookTicker?symbol="&amp;$B5&amp;"BTC")</f>
        <v>{"symbol":"DASHBTC","bidPrice":"0.01446100","bidQty":"1.46800000","askPrice":"0.01447900","askQty":"0.80000000"}</v>
      </c>
      <c r="D5" s="1" t="str">
        <f>_xlfn.WEBSERVICE("https://www.okex.com/api/spot/v3/instruments/"&amp;$B5&amp;"-BTC/ticker")</f>
        <v>{"best_ask":"0.01449","best_bid":"0.01446","instrument_id":"DASH-BTC","product_id":"DASH-BTC","last":"0.01448","ask":"0.01449","bid":"0.01446","open_24h":"0.01412","high_24h":"0.01455","low_24h":"0.01402","base_volume_24h":"11350.150573","timestamp":"2019-07-01T00:15:53.548Z","quote_volume_24h":"161.67805"}</v>
      </c>
      <c r="E5" s="1" t="str">
        <f>_xlfn.WEBSERVICE("https://api.bitforex.com/api/v1/market/ticker?symbol=coin-btc-"&amp;LOWER($B5))</f>
        <v>{"data":{"buy":0.01446704,"date":1561940156917,"high":0.01454122,"last":0.01447368,"low":0.01401998,"sell":0.01449288,"vol":63272.3595},"success":true,"time":1561940156917}</v>
      </c>
      <c r="F5" t="s">
        <v>14</v>
      </c>
    </row>
    <row r="6" spans="1:17" x14ac:dyDescent="0.25">
      <c r="A6">
        <v>5</v>
      </c>
      <c r="B6" t="s">
        <v>12</v>
      </c>
      <c r="C6" s="1" t="str">
        <f>_xlfn.WEBSERVICE("https://api.binance.com/api/v3/ticker/bookTicker?symbol="&amp;$B6&amp;"BTC")</f>
        <v>{"symbol":"ATOMBTC","bidPrice":"0.00050110","bidQty":"10.59000000","askPrice":"0.00050190","askQty":"33.39000000"}</v>
      </c>
      <c r="D6" s="1" t="str">
        <f>_xlfn.WEBSERVICE("https://www.okex.com/api/spot/v3/instruments/"&amp;$B6&amp;"-BTC/ticker")</f>
        <v>{"best_ask":"0.00050476","best_bid":"0.00050031","instrument_id":"ATOM-BTC","product_id":"ATOM-BTC","last":"0.00050233","ask":"0.00050476","bid":"0.00050031","open_24h":"0.00050254","high_24h":"0.00051097","low_24h":"0.00047504","base_volume_24h":"156713.0043","timestamp":"2019-07-01T00:15:54.837Z","quote_volume_24h":"78.15154747"}</v>
      </c>
      <c r="E6" s="1" t="str">
        <f>_xlfn.WEBSERVICE("https://api.bitforex.com/api/v1/market/ticker?symbol=coin-btc-"&amp;LOWER($B6))</f>
        <v>{"data":{"buy":0.00050149,"date":1561940156724,"high":0.00051021,"last":0.0005028,"low":0.00047533,"sell":0.00050402,"vol":461699.1232},"success":true,"time":1561940156724}</v>
      </c>
      <c r="F6" t="s">
        <v>14</v>
      </c>
    </row>
    <row r="8" spans="1:17" x14ac:dyDescent="0.25">
      <c r="C8" t="s">
        <v>15</v>
      </c>
      <c r="O8" t="s">
        <v>16</v>
      </c>
    </row>
    <row r="9" spans="1:17" x14ac:dyDescent="0.25">
      <c r="C9" t="s">
        <v>2</v>
      </c>
      <c r="D9" t="s">
        <v>3</v>
      </c>
      <c r="E9" t="s">
        <v>4</v>
      </c>
      <c r="G9" t="s">
        <v>9</v>
      </c>
      <c r="H9" t="s">
        <v>8</v>
      </c>
      <c r="I9" t="s">
        <v>7</v>
      </c>
      <c r="J9" t="s">
        <v>8</v>
      </c>
      <c r="K9" t="s">
        <v>10</v>
      </c>
      <c r="L9" t="s">
        <v>13</v>
      </c>
      <c r="M9" t="s">
        <v>11</v>
      </c>
      <c r="O9" t="s">
        <v>2</v>
      </c>
      <c r="P9" t="s">
        <v>3</v>
      </c>
      <c r="Q9" t="s">
        <v>4</v>
      </c>
    </row>
    <row r="10" spans="1:17" x14ac:dyDescent="0.25">
      <c r="A10">
        <f>A2</f>
        <v>1</v>
      </c>
      <c r="B10" t="str">
        <f>$B2</f>
        <v>ETH</v>
      </c>
      <c r="C10" s="2">
        <f>_xlfn.NUMBERVALUE(MID($C2, FIND("askPrice",$C2,1)+11,(FIND(CHAR(34),$C2,FIND("askPrice",$C2,1)+11)-(FIND("askPrice",$C2,1)+11)   )))</f>
        <v>2.5038000000000001E-2</v>
      </c>
      <c r="D10" s="2">
        <f>_xlfn.NUMBERVALUE(MID($D2, FIND("ask",$D2,1)+6,(FIND(CHAR(34),$D2,FIND("ask",$D2,1)+6)-(FIND("ask",$D2,1)+6)   )))</f>
        <v>2.6780000000000002E-2</v>
      </c>
      <c r="E10" s="2">
        <f>_xlfn.NUMBERVALUE(MID($E2, FIND("sell",$E2,1)+6,(FIND(",",$E2,FIND("sell",$E2,1)+6)-(FIND("sell",$E2,1)+6)   )))</f>
        <v>2.677995E-2</v>
      </c>
      <c r="G10" s="2">
        <f t="shared" ref="G10:G14" si="0">MIN(C10,D10,E10)</f>
        <v>2.5038000000000001E-2</v>
      </c>
      <c r="H10" t="str">
        <f ca="1">OFFSET(INDEX(C10:E10,1,MATCH(MIN(C10:E10),C10:E10,0)), -$A10,0)</f>
        <v>Binance</v>
      </c>
      <c r="I10" s="2">
        <f t="shared" ref="I10:I14" si="1">MAX(O10:Q10)</f>
        <v>2.6769999999999999E-2</v>
      </c>
      <c r="J10" t="str">
        <f ca="1">OFFSET(INDEX(O10:Q10,1,MATCH(MAX(O10:Q10),O10:Q10,0)), -$A10,0)</f>
        <v>Okex</v>
      </c>
      <c r="K10" s="2">
        <f>G10-I10</f>
        <v>-1.7319999999999974E-3</v>
      </c>
      <c r="L10" s="3">
        <f>(I10-G10)/G10</f>
        <v>6.9174854221583093E-2</v>
      </c>
      <c r="M10" t="str">
        <f>IF(((I10-G10)/G10) &gt; 10%, "Arb", "No Arb")</f>
        <v>No Arb</v>
      </c>
      <c r="O10" s="2">
        <f>_xlfn.NUMBERVALUE(MID($C2, FIND("bidPrice",$C2,1)+11,(FIND(CHAR(34),$C2,FIND("bidPrice",$C2,1)+11)-(FIND("bidPrice",$C2,1)+11)   )))</f>
        <v>2.5031000000000001E-2</v>
      </c>
      <c r="P10" s="2">
        <f>_xlfn.NUMBERVALUE(MID($D2, FIND("bid",$D2,1)+6,(FIND(CHAR(34),$D2,FIND("bid",$D2,1)+6)-(FIND("bid",$D2,1)+6)   )))</f>
        <v>2.6769999999999999E-2</v>
      </c>
      <c r="Q10" s="2">
        <f>_xlfn.NUMBERVALUE(MID($E2, FIND("buy",$E2,1)+6,(FIND(",",$E2,FIND("buy",$E2,1)+6)-(FIND("buy",$E2,1)+6)   )))</f>
        <v>2.6749700000000001E-2</v>
      </c>
    </row>
    <row r="11" spans="1:17" x14ac:dyDescent="0.25">
      <c r="A11">
        <f t="shared" ref="A11:A14" si="2">A3</f>
        <v>2</v>
      </c>
      <c r="B11" t="str">
        <f t="shared" ref="B11:B14" si="3">$B3</f>
        <v>XRP</v>
      </c>
      <c r="C11" s="2">
        <f>_xlfn.NUMBERVALUE(MID($C3, FIND("askPrice",$C3,1)+11,(FIND(CHAR(34),$C3,FIND("askPrice",$C3,1)+11)-(FIND("askPrice",$C3,1)+11)   )))</f>
        <v>3.6310000000000003E-5</v>
      </c>
      <c r="D11" s="2">
        <f>_xlfn.NUMBERVALUE(MID($D3, FIND("ask",$D3,1)+6,(FIND(CHAR(34),$D3,FIND("ask",$D3,1)+6)-(FIND("ask",$D3,1)+6)   )))</f>
        <v>3.6329999999999999E-5</v>
      </c>
      <c r="E11" s="2">
        <f>_xlfn.NUMBERVALUE(MID($E3, FIND("sell",$E3,1)+6,(FIND(",",$E3,FIND("sell",$E3,1)+6)-(FIND("sell",$E3,1)+6)   )))</f>
        <v>3.6329999999999999E-5</v>
      </c>
      <c r="G11" s="2">
        <f t="shared" si="0"/>
        <v>3.6310000000000003E-5</v>
      </c>
      <c r="H11" t="str">
        <f ca="1">OFFSET(INDEX(C11:E11,1,MATCH(MIN(C11:E11),C11:E11,0)), -$A11,0)</f>
        <v>Binance</v>
      </c>
      <c r="I11" s="2">
        <f t="shared" si="1"/>
        <v>3.6300000000000001E-5</v>
      </c>
      <c r="J11" t="str">
        <f ca="1">OFFSET(INDEX(O11:Q11,1,MATCH(MAX(O11:Q11),O11:Q11,0)), -$A11,0)</f>
        <v>Binance</v>
      </c>
      <c r="K11" s="2">
        <f t="shared" ref="K11:K14" si="4">G11-I11</f>
        <v>1.0000000000001598E-8</v>
      </c>
      <c r="L11" s="3">
        <f>(I11-G11)/G11</f>
        <v>-2.7540622418071047E-4</v>
      </c>
      <c r="M11" t="str">
        <f t="shared" ref="M11:M14" si="5">IF(((I11-G11)/G11) &gt; 10%, "Arb", "No Arb")</f>
        <v>No Arb</v>
      </c>
      <c r="O11" s="2">
        <f>_xlfn.NUMBERVALUE(MID($C3, FIND("bidPrice",$C3,1)+11,(FIND(CHAR(34),$C3,FIND("bidPrice",$C3,1)+11)-(FIND("bidPrice",$C3,1)+11)   )))</f>
        <v>3.6300000000000001E-5</v>
      </c>
      <c r="P11" s="2">
        <f>_xlfn.NUMBERVALUE(MID($D3, FIND("bid",$D3,1)+6,(FIND(CHAR(34),$D3,FIND("bid",$D3,1)+6)-(FIND("bid",$D3,1)+6)   )))</f>
        <v>3.629E-5</v>
      </c>
      <c r="Q11" s="2">
        <f>_xlfn.NUMBERVALUE(MID($E3, FIND("buy",$E3,1)+6,(FIND(",",$E3,FIND("buy",$E3,1)+6)-(FIND("buy",$E3,1)+6)   )))</f>
        <v>3.6269999999999997E-5</v>
      </c>
    </row>
    <row r="12" spans="1:17" x14ac:dyDescent="0.25">
      <c r="A12">
        <f t="shared" si="2"/>
        <v>3</v>
      </c>
      <c r="B12" t="str">
        <f t="shared" si="3"/>
        <v>EOS</v>
      </c>
      <c r="C12" s="2">
        <f>_xlfn.NUMBERVALUE(MID($C4, FIND("askPrice",$C4,1)+11,(FIND(CHAR(34),$C4,FIND("askPrice",$C4,1)+11)-(FIND("askPrice",$C4,1)+11)   )))</f>
        <v>5.3200000000000003E-4</v>
      </c>
      <c r="D12" s="2">
        <f>_xlfn.NUMBERVALUE(MID($D4, FIND("ask",$D4,1)+6,(FIND(CHAR(34),$D4,FIND("ask",$D4,1)+6)-(FIND("ask",$D4,1)+6)   )))</f>
        <v>5.3220000000000003E-4</v>
      </c>
      <c r="E12" s="2">
        <f>_xlfn.NUMBERVALUE(MID($E4, FIND("sell",$E4,1)+6,(FIND(",",$E4,FIND("sell",$E4,1)+6)-(FIND("sell",$E4,1)+6)   )))</f>
        <v>5.3395000000000005E-4</v>
      </c>
      <c r="G12" s="2">
        <f t="shared" si="0"/>
        <v>5.3200000000000003E-4</v>
      </c>
      <c r="H12" t="str">
        <f ca="1">OFFSET(INDEX(C12:E12,1,MATCH(MIN(C12:E12),C12:E12,0)), -$A12,0)</f>
        <v>Binance</v>
      </c>
      <c r="I12" s="2">
        <f t="shared" si="1"/>
        <v>5.3189999999999997E-4</v>
      </c>
      <c r="J12" t="str">
        <f ca="1">OFFSET(INDEX(O12:Q12,1,MATCH(MAX(O12:Q12),O12:Q12,0)), -$A12,0)</f>
        <v>Binance</v>
      </c>
      <c r="K12" s="2">
        <f t="shared" si="4"/>
        <v>1.0000000000005664E-7</v>
      </c>
      <c r="L12" s="3">
        <f>(I12-G12)/G12</f>
        <v>-1.8796992481213653E-4</v>
      </c>
      <c r="M12" t="str">
        <f t="shared" si="5"/>
        <v>No Arb</v>
      </c>
      <c r="O12" s="2">
        <f>_xlfn.NUMBERVALUE(MID($C4, FIND("bidPrice",$C4,1)+11,(FIND(CHAR(34),$C4,FIND("bidPrice",$C4,1)+11)-(FIND("bidPrice",$C4,1)+11)   )))</f>
        <v>5.3189999999999997E-4</v>
      </c>
      <c r="P12" s="2">
        <f>_xlfn.NUMBERVALUE(MID($D4, FIND("bid",$D4,1)+6,(FIND(CHAR(34),$D4,FIND("bid",$D4,1)+6)-(FIND("bid",$D4,1)+6)   )))</f>
        <v>5.3160000000000002E-4</v>
      </c>
      <c r="Q12" s="2">
        <f>_xlfn.NUMBERVALUE(MID($E4, FIND("buy",$E4,1)+6,(FIND(",",$E4,FIND("buy",$E4,1)+6)-(FIND("buy",$E4,1)+6)   )))</f>
        <v>5.2985E-4</v>
      </c>
    </row>
    <row r="13" spans="1:17" x14ac:dyDescent="0.25">
      <c r="A13">
        <f t="shared" si="2"/>
        <v>4</v>
      </c>
      <c r="B13" t="str">
        <f t="shared" si="3"/>
        <v>DASH</v>
      </c>
      <c r="C13" s="2">
        <f>_xlfn.NUMBERVALUE(MID($C5, FIND("askPrice",$C5,1)+11,(FIND(CHAR(34),$C5,FIND("askPrice",$C5,1)+11)-(FIND("askPrice",$C5,1)+11)   )))</f>
        <v>1.4479000000000001E-2</v>
      </c>
      <c r="D13" s="2">
        <f>_xlfn.NUMBERVALUE(MID($D5, FIND("ask",$D5,1)+6,(FIND(CHAR(34),$D5,FIND("ask",$D5,1)+6)-(FIND("ask",$D5,1)+6)   )))</f>
        <v>1.4489999999999999E-2</v>
      </c>
      <c r="E13" s="2">
        <f>_xlfn.NUMBERVALUE(MID($E5, FIND("sell",$E5,1)+6,(FIND(",",$E5,FIND("sell",$E5,1)+6)-(FIND("sell",$E5,1)+6)   )))</f>
        <v>1.449288E-2</v>
      </c>
      <c r="G13" s="2">
        <f t="shared" si="0"/>
        <v>1.4479000000000001E-2</v>
      </c>
      <c r="H13" t="str">
        <f ca="1">OFFSET(INDEX(C13:E13,1,MATCH(MIN(C13:E13),C13:E13,0)), -$A13,0)</f>
        <v>Binance</v>
      </c>
      <c r="I13" s="2">
        <f t="shared" si="1"/>
        <v>1.446704E-2</v>
      </c>
      <c r="J13" t="str">
        <f ca="1">OFFSET(INDEX(O13:Q13,1,MATCH(MAX(O13:Q13),O13:Q13,0)), -$A13,0)</f>
        <v>BitForex</v>
      </c>
      <c r="K13" s="2">
        <f t="shared" si="4"/>
        <v>1.1960000000000096E-5</v>
      </c>
      <c r="L13" s="3">
        <f>(I13-G13)/G13</f>
        <v>-8.2602389667795395E-4</v>
      </c>
      <c r="M13" t="str">
        <f t="shared" si="5"/>
        <v>No Arb</v>
      </c>
      <c r="O13" s="2">
        <f>_xlfn.NUMBERVALUE(MID($C5, FIND("bidPrice",$C5,1)+11,(FIND(CHAR(34),$C5,FIND("bidPrice",$C5,1)+11)-(FIND("bidPrice",$C5,1)+11)   )))</f>
        <v>1.4461E-2</v>
      </c>
      <c r="P13" s="2">
        <f>_xlfn.NUMBERVALUE(MID($D5, FIND("bid",$D5,1)+6,(FIND(CHAR(34),$D5,FIND("bid",$D5,1)+6)-(FIND("bid",$D5,1)+6)   )))</f>
        <v>1.4460000000000001E-2</v>
      </c>
      <c r="Q13" s="2">
        <f>_xlfn.NUMBERVALUE(MID($E5, FIND("buy",$E5,1)+6,(FIND(",",$E5,FIND("buy",$E5,1)+6)-(FIND("buy",$E5,1)+6)   )))</f>
        <v>1.446704E-2</v>
      </c>
    </row>
    <row r="14" spans="1:17" x14ac:dyDescent="0.25">
      <c r="A14">
        <f t="shared" si="2"/>
        <v>5</v>
      </c>
      <c r="B14" t="str">
        <f t="shared" si="3"/>
        <v>ATOM</v>
      </c>
      <c r="C14" s="2">
        <f>_xlfn.NUMBERVALUE(MID($C6, FIND("askPrice",$C6,1)+11,(FIND(CHAR(34),$C6,FIND("askPrice",$C6,1)+11)-(FIND("askPrice",$C6,1)+11)   )))</f>
        <v>5.019E-4</v>
      </c>
      <c r="D14" s="2">
        <f>_xlfn.NUMBERVALUE(MID($D6, FIND("ask",$D6,1)+6,(FIND(CHAR(34),$D6,FIND("ask",$D6,1)+6)-(FIND("ask",$D6,1)+6)   )))</f>
        <v>5.0476000000000004E-4</v>
      </c>
      <c r="E14" s="2">
        <f>_xlfn.NUMBERVALUE(MID($E6, FIND("sell",$E6,1)+6,(FIND(",",$E6,FIND("sell",$E6,1)+6)-(FIND("sell",$E6,1)+6)   )))</f>
        <v>5.0401999999999999E-4</v>
      </c>
      <c r="G14" s="2">
        <f t="shared" si="0"/>
        <v>5.019E-4</v>
      </c>
      <c r="H14" t="str">
        <f ca="1">OFFSET(INDEX(C14:E14,1,MATCH(MIN(C14:E14),C14:E14,0)), -$A14,0)</f>
        <v>Binance</v>
      </c>
      <c r="I14" s="2">
        <f t="shared" si="1"/>
        <v>5.0149000000000005E-4</v>
      </c>
      <c r="J14" t="str">
        <f ca="1">OFFSET(INDEX(O14:Q14,1,MATCH(MAX(O14:Q14),O14:Q14,0)), -$A14,0)</f>
        <v>BitForex</v>
      </c>
      <c r="K14" s="2">
        <f t="shared" si="4"/>
        <v>4.0999999999995033E-7</v>
      </c>
      <c r="L14" s="3">
        <f>(I14-G14)/G14</f>
        <v>-8.1689579597519493E-4</v>
      </c>
      <c r="M14" t="str">
        <f t="shared" si="5"/>
        <v>No Arb</v>
      </c>
      <c r="O14" s="2">
        <f>_xlfn.NUMBERVALUE(MID($C6, FIND("bidPrice",$C6,1)+11,(FIND(CHAR(34),$C6,FIND("bidPrice",$C6,1)+11)-(FIND("bidPrice",$C6,1)+11)   )))</f>
        <v>5.0109999999999998E-4</v>
      </c>
      <c r="P14" s="2">
        <f>_xlfn.NUMBERVALUE(MID($D6, FIND("bid",$D6,1)+6,(FIND(CHAR(34),$D6,FIND("bid",$D6,1)+6)-(FIND("bid",$D6,1)+6)   )))</f>
        <v>5.0031000000000001E-4</v>
      </c>
      <c r="Q14" s="2">
        <f>_xlfn.NUMBERVALUE(MID($E6, FIND("buy",$E6,1)+6,(FIND(",",$E6,FIND("buy",$E6,1)+6)-(FIND("buy",$E6,1)+6)   )))</f>
        <v>5.0149000000000005E-4</v>
      </c>
    </row>
    <row r="16" spans="1:17" x14ac:dyDescent="0.25">
      <c r="C16" s="2"/>
    </row>
    <row r="17" spans="3:3" x14ac:dyDescent="0.25">
      <c r="C17" s="2"/>
    </row>
  </sheetData>
  <hyperlinks>
    <hyperlink ref="C2" r:id="rId1" display="https://api.binance.com/api/v3/ticker/bookTicker?symbol=ETHBTC" xr:uid="{AF450042-44E7-40D7-BA0C-E2078736F674}"/>
    <hyperlink ref="D2" r:id="rId2" display="https://www.okex.com/api/spot/v3/instruments/ETH-BTC/ticker" xr:uid="{AA296E07-B678-464D-967B-250BD9F012A9}"/>
    <hyperlink ref="E2" r:id="rId3" display="https://api.bitforex.com/api/v1/market/ticker?symbol=coin-btc-eth" xr:uid="{3DDECEBF-36D5-4B83-A979-605DD22440C7}"/>
    <hyperlink ref="C3" r:id="rId4" display="https://api.binance.com/api/v3/ticker/bookTicker?symbol=ETHBTC" xr:uid="{EE54D376-A4F8-41E2-8CF1-8FF3F712C4DF}"/>
    <hyperlink ref="C4" r:id="rId5" display="https://api.binance.com/api/v3/ticker/bookTicker?symbol=ETHBTC" xr:uid="{3DD72973-1732-486A-8CFC-8D8B91082AE5}"/>
    <hyperlink ref="C5" r:id="rId6" display="https://api.binance.com/api/v3/ticker/bookTicker?symbol=ETHBTC" xr:uid="{4B77BAFF-B6E4-4793-80E4-5E58EA5E436A}"/>
    <hyperlink ref="C6" r:id="rId7" display="https://api.binance.com/api/v3/ticker/bookTicker?symbol=ETHBTC" xr:uid="{8E9547DB-E67F-4657-89D8-5B807BBC0A73}"/>
    <hyperlink ref="D3" r:id="rId8" display="https://www.okex.com/api/spot/v3/instruments/ETH-BTC/ticker" xr:uid="{450E2AAB-27E3-4437-B3FA-271D21BA504C}"/>
    <hyperlink ref="D4" r:id="rId9" display="https://www.okex.com/api/spot/v3/instruments/ETH-BTC/ticker" xr:uid="{58B67840-E615-460E-9E2C-FE99D25B2AB4}"/>
    <hyperlink ref="D5" r:id="rId10" display="https://www.okex.com/api/spot/v3/instruments/ETH-BTC/ticker" xr:uid="{E6AF8BAE-266A-4BBF-957F-45A91AEA5873}"/>
    <hyperlink ref="D6" r:id="rId11" display="https://www.okex.com/api/spot/v3/instruments/ETH-BTC/ticker" xr:uid="{729CA036-987A-41DC-8C99-6134839FD57A}"/>
    <hyperlink ref="E3" r:id="rId12" display="https://api.bitforex.com/api/v1/market/ticker?symbol=coin-btc-eth" xr:uid="{895E61E9-A1EC-427E-A071-D5FF542261D1}"/>
    <hyperlink ref="E4" r:id="rId13" display="https://api.bitforex.com/api/v1/market/ticker?symbol=coin-btc-eth" xr:uid="{668A7896-02C4-40C1-8696-CE9663F048CF}"/>
    <hyperlink ref="E5" r:id="rId14" display="https://api.bitforex.com/api/v1/market/ticker?symbol=coin-btc-eth" xr:uid="{0C0C90CA-4125-45C1-BAFC-B1F36B1A4240}"/>
    <hyperlink ref="E6" r:id="rId15" display="https://api.bitforex.com/api/v1/market/ticker?symbol=coin-btc-eth" xr:uid="{3535A2CD-7F07-48C7-8578-4E2406BD8AC5}"/>
  </hyperlinks>
  <pageMargins left="0.7" right="0.7" top="0.75" bottom="0.75" header="0.3" footer="0.3"/>
  <pageSetup paperSize="9" orientation="portrait" horizontalDpi="0" verticalDpi="0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4E77-B29F-4877-B0C9-37055C403CFC}">
  <sheetPr codeName="Sheet2"/>
  <dimension ref="A1:Q17"/>
  <sheetViews>
    <sheetView zoomScale="160" zoomScaleNormal="160" workbookViewId="0">
      <selection activeCell="D14" sqref="D14"/>
    </sheetView>
  </sheetViews>
  <sheetFormatPr defaultRowHeight="15" x14ac:dyDescent="0.25"/>
  <cols>
    <col min="1" max="1" width="2" bestFit="1" customWidth="1"/>
    <col min="2" max="2" width="6.42578125" bestFit="1" customWidth="1"/>
    <col min="3" max="5" width="12.28515625" customWidth="1"/>
    <col min="6" max="6" width="3.42578125" customWidth="1"/>
    <col min="7" max="7" width="12.5703125" bestFit="1" customWidth="1"/>
    <col min="8" max="8" width="11" bestFit="1" customWidth="1"/>
    <col min="9" max="9" width="12.5703125" bestFit="1" customWidth="1"/>
    <col min="10" max="10" width="11" bestFit="1" customWidth="1"/>
    <col min="11" max="11" width="12.28515625" bestFit="1" customWidth="1"/>
    <col min="12" max="12" width="8.140625" bestFit="1" customWidth="1"/>
    <col min="13" max="13" width="7.140625" bestFit="1" customWidth="1"/>
    <col min="14" max="14" width="3.42578125" customWidth="1"/>
    <col min="15" max="17" width="12.28515625" customWidth="1"/>
  </cols>
  <sheetData>
    <row r="1" spans="1:17" x14ac:dyDescent="0.25">
      <c r="C1" t="s">
        <v>2</v>
      </c>
      <c r="D1" t="s">
        <v>3</v>
      </c>
      <c r="E1" t="s">
        <v>4</v>
      </c>
    </row>
    <row r="2" spans="1:17" x14ac:dyDescent="0.25">
      <c r="A2">
        <v>1</v>
      </c>
      <c r="B2" t="s">
        <v>0</v>
      </c>
      <c r="C2" s="1" t="str">
        <f>_xlfn.WEBSERVICE("https://api.binance.com/api/v3/ticker/bookTicker?symbol=" &amp; $B2 &amp; "BTC")</f>
        <v>{"symbol":"ETHBTC","bidPrice":"0.02677500","bidQty":"1.48300000","askPrice":"0.02677900","askQty":"4.15600000"}</v>
      </c>
      <c r="D2" s="1" t="str">
        <f>_xlfn.WEBSERVICE("https://www.okex.com/api/spot/v3/instruments/" &amp; $B2 &amp; "-BTC/ticker")</f>
        <v>{"best_ask":"0.02678","best_bid":"0.02677","instrument_id":"ETH-BTC","product_id":"ETH-BTC","last":"0.02677","ask":"0.02678","bid":"0.02677","open_24h":"0.02666","high_24h":"0.02708","low_24h":"0.02605","base_volume_24h":"232922.26668","timestamp":"2019-07-01T00:15:54.073Z","quote_volume_24h":"6183.09334"}</v>
      </c>
      <c r="E2" s="1" t="str">
        <f>_xlfn.WEBSERVICE("https://api.bitforex.com/api/v1/market/ticker?symbol=coin-btc-" &amp; LOWER($B2))</f>
        <v>{"data":{"buy":0.0267497,"date":1561940155253,"high":0.02706799,"last":0.02676568,"low":0.0260696,"sell":0.02677995,"vol":228446.2985},"success":true,"time":1561940155253}</v>
      </c>
    </row>
    <row r="3" spans="1:17" x14ac:dyDescent="0.25">
      <c r="A3">
        <v>2</v>
      </c>
      <c r="B3" t="s">
        <v>1</v>
      </c>
      <c r="C3" s="1" t="str">
        <f>_xlfn.WEBSERVICE("https://api.binance.com/api/v3/ticker/bookTicker?symbol=" &amp; $B3 &amp; "BTC")</f>
        <v>{"symbol":"XRPBTC","bidPrice":"0.00003630","bidQty":"30258.00000000","askPrice":"0.00003631","askQty":"6558.00000000"}</v>
      </c>
      <c r="D3" s="1" t="str">
        <f>_xlfn.WEBSERVICE("https://www.okex.com/api/spot/v3/instruments/" &amp; $B3 &amp; "-BTC/ticker")</f>
        <v>{"best_ask":"0.00003633","best_bid":"0.00003629","instrument_id":"XRP-BTC","product_id":"XRP-BTC","last":"0.00003629","ask":"0.00003633","bid":"0.00003629","open_24h":"0.00003538","high_24h":"0.00003677","low_24h":"0.00003483","base_volume_24h":"46191419.033","timestamp":"2019-07-01T00:15:49.451Z","quote_volume_24h":"1654.85973368"}</v>
      </c>
      <c r="E3" s="1" t="str">
        <f>_xlfn.WEBSERVICE("https://api.bitforex.com/api/v1/market/ticker?symbol=coin-btc-" &amp; LOWER($B3))</f>
        <v>{"data":{"buy":0.00003627,"date":1561940155238,"high":0.00003676,"last":0.0000363,"low":0.00003482,"sell":0.00003633,"vol":52841926.2868},"success":true,"time":1561940155238}</v>
      </c>
    </row>
    <row r="4" spans="1:17" x14ac:dyDescent="0.25">
      <c r="A4">
        <v>3</v>
      </c>
      <c r="B4" t="s">
        <v>5</v>
      </c>
      <c r="C4" s="1" t="str">
        <f>_xlfn.WEBSERVICE("https://api.binance.com/api/v3/ticker/bookTicker?symbol=" &amp; $B4 &amp; "BTC")</f>
        <v>{"symbol":"EOSBTC","bidPrice":"0.00053190","bidQty":"86.90000000","askPrice":"0.00053200","askQty":"239.67000000"}</v>
      </c>
      <c r="D4" s="1" t="str">
        <f>_xlfn.WEBSERVICE("https://www.okex.com/api/spot/v3/instruments/" &amp; $B4 &amp; "-BTC/ticker")</f>
        <v>{"best_ask":"0.0005322","best_bid":"0.0005316","instrument_id":"EOS-BTC","product_id":"EOS-BTC","last":"0.0005314","ask":"0.0005322","bid":"0.0005316","open_24h":"0.0005293","high_24h":"0.000541","low_24h":"0.0005175","base_volume_24h":"9864710.7218","timestamp":"2019-07-01T00:15:52.133Z","quote_volume_24h":"5193.684212"}</v>
      </c>
      <c r="E4" s="1" t="str">
        <f>_xlfn.WEBSERVICE("https://api.bitforex.com/api/v1/market/ticker?symbol=coin-btc-" &amp; LOWER($B4))</f>
        <v>{"data":{"buy":0.00052985,"date":1561940156716,"high":0.00053958,"last":0.00053185,"low":0.00051767,"sell":0.00053395,"vol":3037633.1672},"success":true,"time":1561940156716}</v>
      </c>
    </row>
    <row r="5" spans="1:17" x14ac:dyDescent="0.25">
      <c r="A5">
        <v>4</v>
      </c>
      <c r="C5" s="1"/>
      <c r="D5" s="1"/>
      <c r="E5" s="1"/>
    </row>
    <row r="6" spans="1:17" x14ac:dyDescent="0.25">
      <c r="A6">
        <v>5</v>
      </c>
      <c r="C6" s="1"/>
      <c r="D6" s="1"/>
      <c r="E6" s="1"/>
    </row>
    <row r="8" spans="1:17" x14ac:dyDescent="0.25">
      <c r="C8" t="s">
        <v>15</v>
      </c>
      <c r="O8" t="s">
        <v>16</v>
      </c>
    </row>
    <row r="9" spans="1:17" x14ac:dyDescent="0.25">
      <c r="C9" t="s">
        <v>2</v>
      </c>
      <c r="D9" t="s">
        <v>3</v>
      </c>
      <c r="E9" t="s">
        <v>4</v>
      </c>
      <c r="G9" t="s">
        <v>9</v>
      </c>
      <c r="H9" t="s">
        <v>8</v>
      </c>
      <c r="I9" t="s">
        <v>7</v>
      </c>
      <c r="J9" t="s">
        <v>8</v>
      </c>
      <c r="K9" t="s">
        <v>10</v>
      </c>
      <c r="L9" t="s">
        <v>13</v>
      </c>
      <c r="M9" t="s">
        <v>11</v>
      </c>
      <c r="O9" t="s">
        <v>2</v>
      </c>
      <c r="P9" t="s">
        <v>3</v>
      </c>
      <c r="Q9" t="s">
        <v>4</v>
      </c>
    </row>
    <row r="10" spans="1:17" x14ac:dyDescent="0.25">
      <c r="A10">
        <f>A2</f>
        <v>1</v>
      </c>
      <c r="B10" t="str">
        <f>$B2</f>
        <v>ETH</v>
      </c>
      <c r="C10" s="2">
        <f>_xlfn.NUMBERVALUE(MID($C2, FIND("askPrice", $C2, 1)+11, (FIND(CHAR(34), $C2, FIND("askPrice", $C2, 1)+11))-(FIND("askPrice", $C2, 1)+11)
))</f>
        <v>2.6779000000000001E-2</v>
      </c>
      <c r="D10" s="2">
        <f>_xlfn.NUMBERVALUE(MID($D2, FIND("ask", $D2, 1)+6, (FIND(CHAR(34), $D2, FIND("ask", $D2, 1)+6))-(FIND("ask", $D2, 1)+6)
))</f>
        <v>2.6780000000000002E-2</v>
      </c>
      <c r="E10" s="2">
        <f>_xlfn.NUMBERVALUE(MID($E2, FIND("sell", $E2, 1)+6, (FIND(",", $E2, FIND("sell", $E2, 1)+6))-(FIND("sell", $E2, 1)+6)
))</f>
        <v>2.677995E-2</v>
      </c>
      <c r="G10" s="2">
        <f>MIN(C10:E10)</f>
        <v>2.6779000000000001E-2</v>
      </c>
      <c r="H10" t="str">
        <f ca="1">OFFSET(INDEX(C10:E10, 1, MATCH(MIN(C10:E10), C10:E10, 0)),-A10,0)</f>
        <v>Binance</v>
      </c>
      <c r="I10" s="2">
        <f>MAX(O10:Q10)</f>
        <v>2.6775E-2</v>
      </c>
      <c r="J10" t="str">
        <f ca="1">OFFSET(INDEX(O10:Q10, 1, MATCH(MAX(O10:Q10), O10:Q10, 0)),-A10,0)</f>
        <v>Binance</v>
      </c>
      <c r="K10" s="2">
        <f>I10-G10</f>
        <v>-4.0000000000005309E-6</v>
      </c>
      <c r="L10" s="3">
        <f>(I10-G10)/G10</f>
        <v>-1.4937077560777217E-4</v>
      </c>
      <c r="M10" t="str">
        <f>IF(L10&gt;= 10%, "Arb", "No Arb")</f>
        <v>No Arb</v>
      </c>
      <c r="O10" s="2">
        <f>_xlfn.NUMBERVALUE(MID($C2, FIND("bidPrice", $C2, 1)+11, (FIND(CHAR(34), $C2, FIND("bidPrice", $C2, 1)+11))-(FIND("bidPrice", $C2, 1)+11)
))</f>
        <v>2.6775E-2</v>
      </c>
      <c r="P10" s="2">
        <f>_xlfn.NUMBERVALUE(MID($D2, FIND("bid", $D2, 1)+6, (FIND(CHAR(34), $D2, FIND("bid", $D2, 1)+6))-(FIND("bid", $D2, 1)+6)
))</f>
        <v>2.6769999999999999E-2</v>
      </c>
      <c r="Q10" s="2">
        <f>_xlfn.NUMBERVALUE(MID($E2, FIND("buy", $E2, 1)+6, (FIND(",", $E2, FIND("buy", $E2, 1)+6))-(FIND("buy", $E2, 1)+6)
))</f>
        <v>2.6749700000000001E-2</v>
      </c>
    </row>
    <row r="11" spans="1:17" x14ac:dyDescent="0.25">
      <c r="A11">
        <f t="shared" ref="A11:A14" si="0">A3</f>
        <v>2</v>
      </c>
      <c r="B11" t="str">
        <f>B3</f>
        <v>XRP</v>
      </c>
      <c r="C11" s="2">
        <f t="shared" ref="C11:C12" si="1">_xlfn.NUMBERVALUE(MID($C3, FIND("askPrice", $C3, 1)+11, (FIND(CHAR(34), $C3, FIND("askPrice", $C3, 1)+11))-(FIND("askPrice", $C3, 1)+11)
))</f>
        <v>3.6310000000000003E-5</v>
      </c>
      <c r="D11" s="2">
        <f t="shared" ref="D11:D12" si="2">_xlfn.NUMBERVALUE(MID($D3, FIND("ask", $D3, 1)+6, (FIND(CHAR(34), $D3, FIND("ask", $D3, 1)+6))-(FIND("ask", $D3, 1)+6)
))</f>
        <v>3.6329999999999999E-5</v>
      </c>
      <c r="E11" s="2">
        <f t="shared" ref="E11:E12" si="3">_xlfn.NUMBERVALUE(MID($E3, FIND("sell", $E3, 1)+6, (FIND(",", $E3, FIND("sell", $E3, 1)+6))-(FIND("sell", $E3, 1)+6)
))</f>
        <v>3.6329999999999999E-5</v>
      </c>
      <c r="G11" s="2">
        <f t="shared" ref="G11:G12" si="4">MIN(C11:E11)</f>
        <v>3.6310000000000003E-5</v>
      </c>
      <c r="H11" t="str">
        <f t="shared" ref="H11:H12" ca="1" si="5">OFFSET(INDEX(C11:E11, 1, MATCH(MIN(C11:E11), C11:E11, 0)),-A11,0)</f>
        <v>Binance</v>
      </c>
      <c r="I11" s="2">
        <f t="shared" ref="I11:I12" si="6">MAX(O11:Q11)</f>
        <v>3.6300000000000001E-5</v>
      </c>
      <c r="J11" t="str">
        <f t="shared" ref="J11:J12" ca="1" si="7">OFFSET(INDEX(O11:Q11, 1, MATCH(MAX(O11:Q11), O11:Q11, 0)),-A11,0)</f>
        <v>Binance</v>
      </c>
      <c r="K11" s="2">
        <f t="shared" ref="K11:K12" si="8">I11-G11</f>
        <v>-1.0000000000001598E-8</v>
      </c>
      <c r="L11" s="3">
        <f t="shared" ref="L11:L12" si="9">(I11-G11)/G11</f>
        <v>-2.7540622418071047E-4</v>
      </c>
      <c r="M11" t="str">
        <f t="shared" ref="M11:M12" si="10">IF(L11&gt;= 10%, "Arb", "No Arb")</f>
        <v>No Arb</v>
      </c>
      <c r="O11" s="2">
        <f>_xlfn.NUMBERVALUE(MID($C3, FIND("bidPrice", $C3, 1)+11, (FIND(CHAR(34), $C3, FIND("bidPrice", $C3, 1)+11))-(FIND("bidPrice", $C3, 1)+11)
))</f>
        <v>3.6300000000000001E-5</v>
      </c>
      <c r="P11" s="2">
        <f>_xlfn.NUMBERVALUE(MID($D3, FIND("bid", $D3, 1)+6, (FIND(CHAR(34), $D3, FIND("bid", $D3, 1)+6))-(FIND("bid", $D3, 1)+6)
))</f>
        <v>3.629E-5</v>
      </c>
      <c r="Q11" s="2">
        <f>_xlfn.NUMBERVALUE(MID($E3, FIND("buy", $E3, 1)+6, (FIND(",", $E3, FIND("buy", $E3, 1)+6))-(FIND("buy", $E3, 1)+6)
))</f>
        <v>3.6269999999999997E-5</v>
      </c>
    </row>
    <row r="12" spans="1:17" x14ac:dyDescent="0.25">
      <c r="A12">
        <f t="shared" si="0"/>
        <v>3</v>
      </c>
      <c r="B12" t="str">
        <f>B4</f>
        <v>EOS</v>
      </c>
      <c r="C12" s="2">
        <f t="shared" si="1"/>
        <v>5.3200000000000003E-4</v>
      </c>
      <c r="D12" s="2">
        <f t="shared" si="2"/>
        <v>5.3220000000000003E-4</v>
      </c>
      <c r="E12" s="2">
        <f t="shared" si="3"/>
        <v>5.3395000000000005E-4</v>
      </c>
      <c r="G12" s="2">
        <f t="shared" si="4"/>
        <v>5.3200000000000003E-4</v>
      </c>
      <c r="H12" t="str">
        <f t="shared" ca="1" si="5"/>
        <v>Binance</v>
      </c>
      <c r="I12" s="2">
        <f t="shared" si="6"/>
        <v>5.3189999999999997E-4</v>
      </c>
      <c r="J12" t="str">
        <f t="shared" ca="1" si="7"/>
        <v>Binance</v>
      </c>
      <c r="K12" s="2">
        <f t="shared" si="8"/>
        <v>-1.0000000000005664E-7</v>
      </c>
      <c r="L12" s="3">
        <f t="shared" si="9"/>
        <v>-1.8796992481213653E-4</v>
      </c>
      <c r="M12" t="str">
        <f t="shared" si="10"/>
        <v>No Arb</v>
      </c>
      <c r="O12" s="2">
        <f>_xlfn.NUMBERVALUE(MID($C4, FIND("bidPrice", $C4, 1)+11, (FIND(CHAR(34), $C4, FIND("bidPrice", $C4, 1)+11))-(FIND("bidPrice", $C4, 1)+11)
))</f>
        <v>5.3189999999999997E-4</v>
      </c>
      <c r="P12" s="2">
        <f>_xlfn.NUMBERVALUE(MID($D4, FIND("bid", $D4, 1)+6, (FIND(CHAR(34), $D4, FIND("bid", $D4, 1)+6))-(FIND("bid", $D4, 1)+6)
))</f>
        <v>5.3160000000000002E-4</v>
      </c>
      <c r="Q12" s="2">
        <f>_xlfn.NUMBERVALUE(MID($E4, FIND("buy", $E4, 1)+6, (FIND(",", $E4, FIND("buy", $E4, 1)+6))-(FIND("buy", $E4, 1)+6)
))</f>
        <v>5.2985E-4</v>
      </c>
    </row>
    <row r="13" spans="1:17" x14ac:dyDescent="0.25">
      <c r="A13">
        <f t="shared" si="0"/>
        <v>4</v>
      </c>
      <c r="C13" s="2"/>
      <c r="D13" s="2"/>
      <c r="E13" s="2"/>
      <c r="G13" s="2"/>
      <c r="I13" s="2"/>
      <c r="K13" s="2"/>
      <c r="L13" s="3"/>
      <c r="O13" s="2"/>
      <c r="P13" s="2"/>
      <c r="Q13" s="2"/>
    </row>
    <row r="14" spans="1:17" x14ac:dyDescent="0.25">
      <c r="A14">
        <f t="shared" si="0"/>
        <v>5</v>
      </c>
      <c r="C14" s="2"/>
      <c r="D14" s="2"/>
      <c r="E14" s="2"/>
      <c r="G14" s="2"/>
      <c r="I14" s="2"/>
      <c r="K14" s="2"/>
      <c r="L14" s="3"/>
      <c r="O14" s="2"/>
      <c r="P14" s="2"/>
      <c r="Q14" s="2"/>
    </row>
    <row r="16" spans="1:17" x14ac:dyDescent="0.25">
      <c r="C16" s="2"/>
    </row>
    <row r="17" spans="3:3" x14ac:dyDescent="0.25">
      <c r="C17" s="2"/>
    </row>
  </sheetData>
  <hyperlinks>
    <hyperlink ref="C2" r:id="rId1" display="https://api.binance.com/api/v3/ticker/bookTicker?symbol=ETHBTC" xr:uid="{E987E7F8-C793-4590-9059-F44EA2FE2FDF}"/>
    <hyperlink ref="C3" r:id="rId2" display="https://api.binance.com/api/v3/ticker/bookTicker?symbol=ETHBTC" xr:uid="{7AFEDF64-E9D7-4178-88C9-3230AC7486FE}"/>
    <hyperlink ref="C4" r:id="rId3" display="https://api.binance.com/api/v3/ticker/bookTicker?symbol=ETHBTC" xr:uid="{276F2848-0D39-4259-8EBC-48748FA68A9C}"/>
  </hyperlinks>
  <pageMargins left="0.7" right="0.7" top="0.75" bottom="0.75" header="0.3" footer="0.3"/>
  <pageSetup paperSize="9" orientation="portrait" horizontalDpi="0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Edgecate</dc:creator>
  <cp:lastModifiedBy>Edgecate</cp:lastModifiedBy>
  <dcterms:created xsi:type="dcterms:W3CDTF">2019-06-19T02:27:30Z</dcterms:created>
  <dcterms:modified xsi:type="dcterms:W3CDTF">2019-07-01T00:16:38Z</dcterms:modified>
</cp:coreProperties>
</file>